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Rodrigo\Downloads\"/>
    </mc:Choice>
  </mc:AlternateContent>
  <bookViews>
    <workbookView xWindow="0" yWindow="0" windowWidth="23040" windowHeight="9192"/>
  </bookViews>
  <sheets>
    <sheet name="Exemplo" sheetId="8" r:id="rId1"/>
  </sheets>
  <definedNames>
    <definedName name="_xlnm._FilterDatabase" localSheetId="0" hidden="1">Exemplo!$B$12:$S$45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5" i="8" l="1"/>
  <c r="AL18" i="8" l="1"/>
  <c r="AL19" i="8"/>
  <c r="AL22" i="8"/>
  <c r="AL21" i="8"/>
  <c r="AL11" i="8"/>
  <c r="AL10" i="8"/>
  <c r="AL9" i="8"/>
  <c r="Y7" i="8"/>
  <c r="Y6" i="8"/>
  <c r="V7" i="8"/>
  <c r="V6" i="8"/>
  <c r="AL25" i="8" l="1"/>
  <c r="AL24" i="8"/>
  <c r="AB9" i="8"/>
  <c r="AM6" i="8"/>
  <c r="K3" i="8" s="1"/>
</calcChain>
</file>

<file path=xl/sharedStrings.xml><?xml version="1.0" encoding="utf-8"?>
<sst xmlns="http://schemas.openxmlformats.org/spreadsheetml/2006/main" count="117" uniqueCount="96">
  <si>
    <t>Operacional</t>
  </si>
  <si>
    <t>BO</t>
  </si>
  <si>
    <t>TC</t>
  </si>
  <si>
    <t>Sequencia</t>
  </si>
  <si>
    <t>Hora</t>
  </si>
  <si>
    <t>R/R</t>
  </si>
  <si>
    <t>Buy ou Sell</t>
  </si>
  <si>
    <t>Ativo</t>
  </si>
  <si>
    <t>Qt Contratos</t>
  </si>
  <si>
    <t>Parcial</t>
  </si>
  <si>
    <t>Parcial Fluiu?</t>
  </si>
  <si>
    <t>Emocional?</t>
  </si>
  <si>
    <t>Pts a favor</t>
  </si>
  <si>
    <t>Pts Contra</t>
  </si>
  <si>
    <t>Resultado</t>
  </si>
  <si>
    <t>Res em Pts</t>
  </si>
  <si>
    <t>Dia</t>
  </si>
  <si>
    <t>BC</t>
  </si>
  <si>
    <t>TR</t>
  </si>
  <si>
    <t>WIN</t>
  </si>
  <si>
    <t xml:space="preserve">Estruturação </t>
  </si>
  <si>
    <t>Swing</t>
  </si>
  <si>
    <t>Financ.</t>
  </si>
  <si>
    <t>Resumo de Informações</t>
  </si>
  <si>
    <t xml:space="preserve">Total Financeiro </t>
  </si>
  <si>
    <t>CT</t>
  </si>
  <si>
    <t>Sell</t>
  </si>
  <si>
    <t>0X0</t>
  </si>
  <si>
    <t>Buy</t>
  </si>
  <si>
    <t>Scalp</t>
  </si>
  <si>
    <t>Loss</t>
  </si>
  <si>
    <t>Calculando Resultado Financeiro</t>
  </si>
  <si>
    <t>ATIVO</t>
  </si>
  <si>
    <t>Escolha o ativo</t>
  </si>
  <si>
    <t>Nº de CTOS</t>
  </si>
  <si>
    <t>Informe o número de contratos operado</t>
  </si>
  <si>
    <t>PONTOS</t>
  </si>
  <si>
    <t>Informe a quantidade de pontos desejado</t>
  </si>
  <si>
    <t>R$</t>
  </si>
  <si>
    <t>Gain</t>
  </si>
  <si>
    <t>Emocional</t>
  </si>
  <si>
    <t xml:space="preserve">Não Emocional </t>
  </si>
  <si>
    <t>Médio</t>
  </si>
  <si>
    <t>WDO</t>
  </si>
  <si>
    <t xml:space="preserve">Resumo de operações </t>
  </si>
  <si>
    <t>N° de Op</t>
  </si>
  <si>
    <t>Pts +</t>
  </si>
  <si>
    <t>Pts -</t>
  </si>
  <si>
    <t>Total</t>
  </si>
  <si>
    <t>Meta Min</t>
  </si>
  <si>
    <t>Alvo</t>
  </si>
  <si>
    <t>2 PB 1/3</t>
  </si>
  <si>
    <t>2 PB 50%</t>
  </si>
  <si>
    <t>2 H1/H2</t>
  </si>
  <si>
    <t>2 L1/L2</t>
  </si>
  <si>
    <t>2 CC</t>
  </si>
  <si>
    <t>3 M2S</t>
  </si>
  <si>
    <t>3 M2B</t>
  </si>
  <si>
    <t>3 PB 50%</t>
  </si>
  <si>
    <t>3 2BR</t>
  </si>
  <si>
    <t>3 2LEG</t>
  </si>
  <si>
    <t xml:space="preserve">2 FH </t>
  </si>
  <si>
    <t>2 FL</t>
  </si>
  <si>
    <t>3 - PB EMA</t>
  </si>
  <si>
    <t>4 SB DT</t>
  </si>
  <si>
    <t>1 STOP</t>
  </si>
  <si>
    <t>3 WEDGE</t>
  </si>
  <si>
    <t>1 LIMIT</t>
  </si>
  <si>
    <t>1 CC</t>
  </si>
  <si>
    <t>1 L 50%</t>
  </si>
  <si>
    <t>1 S 50%</t>
  </si>
  <si>
    <t>4 SB DB</t>
  </si>
  <si>
    <t>4 LIMIT DB</t>
  </si>
  <si>
    <t>4 LIMIT DT</t>
  </si>
  <si>
    <t>4 2LEG</t>
  </si>
  <si>
    <t>4 2BR</t>
  </si>
  <si>
    <t>4 50%</t>
  </si>
  <si>
    <t>4 L LOC</t>
  </si>
  <si>
    <t>4 SB</t>
  </si>
  <si>
    <t>5 LIMIT LOC</t>
  </si>
  <si>
    <t>5 SB STOP</t>
  </si>
  <si>
    <t>5 FADE</t>
  </si>
  <si>
    <t>3 TEST L BC</t>
  </si>
  <si>
    <t>Entrada</t>
  </si>
  <si>
    <t>Calculadora Fácil</t>
  </si>
  <si>
    <t>4 LIM PB</t>
  </si>
  <si>
    <t>4 STOP SB</t>
  </si>
  <si>
    <t>GAIN</t>
  </si>
  <si>
    <t>N</t>
  </si>
  <si>
    <t>Rentabilidade do capital</t>
  </si>
  <si>
    <t>Capital Inicial</t>
  </si>
  <si>
    <t>2x1</t>
  </si>
  <si>
    <t>SELL</t>
  </si>
  <si>
    <t>SWING</t>
  </si>
  <si>
    <t>LOSS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</si>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</sst>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&quot;R$&quot;\ #,##0.00"/>
    <numFmt numFmtId="165" formatCode="0.0"/>
    <numFmt numFmtId="166" formatCode="[$-F400]h:mm:ss\ AM/PM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Var(--ff-mono)"/>
    </font>
    <font>
      <sz val="10"/>
      <color rgb="FF000000"/>
      <name val="Segoe U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22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Border="1"/>
    <xf numFmtId="0" fontId="0" fillId="8" borderId="12" xfId="0" applyFill="1" applyBorder="1"/>
    <xf numFmtId="0" fontId="0" fillId="8" borderId="5" xfId="0" applyFill="1" applyBorder="1"/>
    <xf numFmtId="0" fontId="0" fillId="8" borderId="4" xfId="0" applyFill="1" applyBorder="1"/>
    <xf numFmtId="0" fontId="0" fillId="8" borderId="2" xfId="0" applyFill="1" applyBorder="1"/>
    <xf numFmtId="14" fontId="0" fillId="8" borderId="0" xfId="0" applyNumberFormat="1" applyFill="1" applyBorder="1"/>
    <xf numFmtId="0" fontId="0" fillId="8" borderId="3" xfId="0" applyFill="1" applyBorder="1"/>
    <xf numFmtId="0" fontId="0" fillId="8" borderId="11" xfId="0" applyFill="1" applyBorder="1"/>
    <xf numFmtId="0" fontId="0" fillId="8" borderId="7" xfId="0" applyFill="1" applyBorder="1"/>
    <xf numFmtId="0" fontId="0" fillId="8" borderId="6" xfId="0" applyFill="1" applyBorder="1"/>
    <xf numFmtId="0" fontId="0" fillId="8" borderId="5" xfId="0" applyFill="1" applyBorder="1" applyAlignment="1">
      <alignment vertical="center"/>
    </xf>
    <xf numFmtId="0" fontId="1" fillId="8" borderId="0" xfId="0" applyFont="1" applyFill="1" applyBorder="1" applyAlignment="1">
      <alignment horizontal="center" vertical="center"/>
    </xf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0" fontId="1" fillId="8" borderId="21" xfId="0" applyFont="1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22" xfId="0" applyFill="1" applyBorder="1"/>
    <xf numFmtId="0" fontId="0" fillId="8" borderId="23" xfId="0" applyFill="1" applyBorder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20" fontId="0" fillId="0" borderId="0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8" borderId="13" xfId="0" applyFill="1" applyBorder="1"/>
    <xf numFmtId="0" fontId="0" fillId="8" borderId="14" xfId="0" applyFill="1" applyBorder="1"/>
    <xf numFmtId="0" fontId="0" fillId="2" borderId="14" xfId="0" applyFill="1" applyBorder="1"/>
    <xf numFmtId="0" fontId="0" fillId="8" borderId="15" xfId="0" applyFill="1" applyBorder="1"/>
    <xf numFmtId="0" fontId="0" fillId="2" borderId="0" xfId="0" applyFill="1" applyBorder="1"/>
    <xf numFmtId="0" fontId="0" fillId="8" borderId="0" xfId="0" applyFill="1" applyAlignment="1">
      <alignment horizontal="center" vertical="center"/>
    </xf>
    <xf numFmtId="164" fontId="0" fillId="8" borderId="0" xfId="0" applyNumberFormat="1" applyFill="1"/>
    <xf numFmtId="17" fontId="0" fillId="0" borderId="0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/>
    </xf>
    <xf numFmtId="9" fontId="1" fillId="9" borderId="9" xfId="2" applyFont="1" applyFill="1" applyBorder="1" applyAlignment="1">
      <alignment horizontal="center" vertical="center"/>
    </xf>
    <xf numFmtId="0" fontId="0" fillId="8" borderId="0" xfId="0" applyFill="1" applyBorder="1" applyAlignment="1">
      <alignment vertical="center"/>
    </xf>
    <xf numFmtId="0" fontId="0" fillId="0" borderId="0" xfId="0" quotePrefix="1" applyBorder="1" applyAlignment="1">
      <alignment horizontal="center" vertical="center"/>
    </xf>
    <xf numFmtId="0" fontId="9" fillId="3" borderId="2" xfId="0" applyFont="1" applyFill="1" applyBorder="1"/>
    <xf numFmtId="0" fontId="9" fillId="5" borderId="2" xfId="0" applyFont="1" applyFill="1" applyBorder="1"/>
    <xf numFmtId="0" fontId="9" fillId="6" borderId="3" xfId="0" applyFont="1" applyFill="1" applyBorder="1"/>
    <xf numFmtId="0" fontId="10" fillId="8" borderId="0" xfId="0" applyFont="1" applyFill="1" applyAlignment="1">
      <alignment vertical="center"/>
    </xf>
    <xf numFmtId="0" fontId="8" fillId="8" borderId="7" xfId="0" applyFont="1" applyFill="1" applyBorder="1"/>
    <xf numFmtId="164" fontId="8" fillId="8" borderId="7" xfId="1" applyNumberFormat="1" applyFont="1" applyFill="1" applyBorder="1"/>
    <xf numFmtId="0" fontId="8" fillId="8" borderId="12" xfId="0" applyFont="1" applyFill="1" applyBorder="1"/>
    <xf numFmtId="0" fontId="8" fillId="8" borderId="15" xfId="0" applyFont="1" applyFill="1" applyBorder="1" applyAlignment="1">
      <alignment horizontal="center" vertical="center"/>
    </xf>
    <xf numFmtId="0" fontId="8" fillId="8" borderId="2" xfId="0" applyFont="1" applyFill="1" applyBorder="1"/>
    <xf numFmtId="0" fontId="8" fillId="8" borderId="5" xfId="0" applyFont="1" applyFill="1" applyBorder="1" applyAlignment="1">
      <alignment horizontal="center" vertical="center"/>
    </xf>
    <xf numFmtId="0" fontId="0" fillId="8" borderId="25" xfId="0" applyFill="1" applyBorder="1"/>
    <xf numFmtId="0" fontId="8" fillId="8" borderId="3" xfId="0" applyFont="1" applyFill="1" applyBorder="1"/>
    <xf numFmtId="0" fontId="8" fillId="8" borderId="7" xfId="0" applyFont="1" applyFill="1" applyBorder="1" applyAlignment="1">
      <alignment horizontal="center" vertical="center"/>
    </xf>
    <xf numFmtId="0" fontId="1" fillId="8" borderId="0" xfId="0" applyFont="1" applyFill="1"/>
    <xf numFmtId="0" fontId="0" fillId="8" borderId="24" xfId="0" applyFill="1" applyBorder="1"/>
    <xf numFmtId="0" fontId="8" fillId="8" borderId="16" xfId="0" applyFont="1" applyFill="1" applyBorder="1"/>
    <xf numFmtId="0" fontId="8" fillId="8" borderId="28" xfId="0" applyFont="1" applyFill="1" applyBorder="1"/>
    <xf numFmtId="0" fontId="8" fillId="8" borderId="20" xfId="0" applyFont="1" applyFill="1" applyBorder="1"/>
    <xf numFmtId="0" fontId="8" fillId="8" borderId="26" xfId="0" applyFont="1" applyFill="1" applyBorder="1"/>
    <xf numFmtId="0" fontId="8" fillId="8" borderId="1" xfId="0" applyFont="1" applyFill="1" applyBorder="1"/>
    <xf numFmtId="0" fontId="8" fillId="8" borderId="10" xfId="0" applyFont="1" applyFill="1" applyBorder="1"/>
    <xf numFmtId="0" fontId="6" fillId="8" borderId="0" xfId="0" applyFont="1" applyFill="1"/>
    <xf numFmtId="0" fontId="5" fillId="8" borderId="0" xfId="0" applyFont="1" applyFill="1" applyAlignment="1">
      <alignment horizontal="left" vertical="center" indent="1"/>
    </xf>
    <xf numFmtId="0" fontId="1" fillId="8" borderId="6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" fontId="7" fillId="8" borderId="7" xfId="2" applyNumberFormat="1" applyFont="1" applyFill="1" applyBorder="1" applyAlignment="1">
      <alignment horizontal="center"/>
    </xf>
    <xf numFmtId="0" fontId="7" fillId="8" borderId="10" xfId="0" applyFont="1" applyFill="1" applyBorder="1" applyAlignment="1">
      <alignment horizontal="center"/>
    </xf>
    <xf numFmtId="165" fontId="7" fillId="8" borderId="10" xfId="1" applyNumberFormat="1" applyFont="1" applyFill="1" applyBorder="1" applyAlignment="1">
      <alignment horizontal="center"/>
    </xf>
    <xf numFmtId="44" fontId="12" fillId="8" borderId="10" xfId="1" applyFont="1" applyFill="1" applyBorder="1" applyAlignment="1">
      <alignment horizontal="center"/>
    </xf>
    <xf numFmtId="0" fontId="9" fillId="4" borderId="12" xfId="0" applyFont="1" applyFill="1" applyBorder="1"/>
    <xf numFmtId="0" fontId="8" fillId="6" borderId="2" xfId="0" applyFont="1" applyFill="1" applyBorder="1"/>
    <xf numFmtId="0" fontId="9" fillId="10" borderId="2" xfId="0" applyFont="1" applyFill="1" applyBorder="1"/>
    <xf numFmtId="0" fontId="8" fillId="3" borderId="12" xfId="0" applyFont="1" applyFill="1" applyBorder="1"/>
    <xf numFmtId="16" fontId="0" fillId="0" borderId="4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8" fillId="3" borderId="2" xfId="0" applyFont="1" applyFill="1" applyBorder="1"/>
    <xf numFmtId="0" fontId="8" fillId="6" borderId="3" xfId="0" applyFont="1" applyFill="1" applyBorder="1"/>
    <xf numFmtId="165" fontId="0" fillId="8" borderId="16" xfId="0" applyNumberFormat="1" applyFill="1" applyBorder="1"/>
    <xf numFmtId="0" fontId="0" fillId="0" borderId="0" xfId="0" applyNumberFormat="1" applyBorder="1" applyAlignment="1">
      <alignment horizontal="center" vertical="center"/>
    </xf>
    <xf numFmtId="0" fontId="8" fillId="2" borderId="3" xfId="0" applyFont="1" applyFill="1" applyBorder="1"/>
    <xf numFmtId="0" fontId="8" fillId="8" borderId="11" xfId="0" applyFont="1" applyFill="1" applyBorder="1" applyAlignment="1">
      <alignment horizontal="left" vertical="center"/>
    </xf>
    <xf numFmtId="164" fontId="8" fillId="8" borderId="1" xfId="0" applyNumberFormat="1" applyFont="1" applyFill="1" applyBorder="1"/>
    <xf numFmtId="0" fontId="7" fillId="8" borderId="0" xfId="0" applyFont="1" applyFill="1"/>
    <xf numFmtId="44" fontId="8" fillId="8" borderId="12" xfId="1" applyFont="1" applyFill="1" applyBorder="1"/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 wrapText="1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 wrapText="1"/>
    </xf>
    <xf numFmtId="0" fontId="1" fillId="8" borderId="9" xfId="0" applyFont="1" applyFill="1" applyBorder="1" applyAlignment="1">
      <alignment horizontal="center" wrapText="1"/>
    </xf>
    <xf numFmtId="0" fontId="1" fillId="8" borderId="10" xfId="0" applyFont="1" applyFill="1" applyBorder="1" applyAlignment="1">
      <alignment horizontal="center" wrapText="1"/>
    </xf>
    <xf numFmtId="0" fontId="9" fillId="8" borderId="27" xfId="0" applyFont="1" applyFill="1" applyBorder="1" applyAlignment="1">
      <alignment horizontal="center" vertical="center" wrapText="1"/>
    </xf>
    <xf numFmtId="0" fontId="9" fillId="8" borderId="28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vertical="center"/>
    </xf>
    <xf numFmtId="0" fontId="8" fillId="8" borderId="13" xfId="0" applyFont="1" applyFill="1" applyBorder="1" applyAlignment="1">
      <alignment horizontal="left" vertical="center"/>
    </xf>
    <xf numFmtId="0" fontId="8" fillId="8" borderId="15" xfId="0" applyFont="1" applyFill="1" applyBorder="1" applyAlignment="1">
      <alignment horizontal="left" vertical="center"/>
    </xf>
    <xf numFmtId="0" fontId="0" fillId="8" borderId="0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22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Operacional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Exemplo!$AK$12:$AK$16</c:f>
              <c:strCache>
                <c:ptCount val="5"/>
                <c:pt idx="0">
                  <c:v>BO</c:v>
                </c:pt>
                <c:pt idx="1">
                  <c:v>TC</c:v>
                </c:pt>
                <c:pt idx="2">
                  <c:v>BC</c:v>
                </c:pt>
                <c:pt idx="3">
                  <c:v>TR</c:v>
                </c:pt>
                <c:pt idx="4">
                  <c:v>CT</c:v>
                </c:pt>
              </c:strCache>
            </c:strRef>
          </c:cat>
          <c:val>
            <c:numRef>
              <c:f>Exemplo!$AL$12:$AL$16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B-4665-93D9-FA6A1053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37321536"/>
        <c:axId val="-1637328064"/>
      </c:barChart>
      <c:catAx>
        <c:axId val="-163732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37328064"/>
        <c:crosses val="autoZero"/>
        <c:auto val="1"/>
        <c:lblAlgn val="ctr"/>
        <c:lblOffset val="100"/>
        <c:noMultiLvlLbl val="0"/>
      </c:catAx>
      <c:valAx>
        <c:axId val="-16373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3732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Psicológico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435-491A-9F73-24F1E6276B78}"/>
              </c:ext>
            </c:extLst>
          </c:dPt>
          <c:cat>
            <c:strRef>
              <c:f>Exemplo!$AK$18:$AK$19</c:f>
              <c:strCache>
                <c:ptCount val="2"/>
                <c:pt idx="0">
                  <c:v>Emocional</c:v>
                </c:pt>
                <c:pt idx="1">
                  <c:v>Não Emocional </c:v>
                </c:pt>
              </c:strCache>
            </c:strRef>
          </c:cat>
          <c:val>
            <c:numRef>
              <c:f>Exemplo!$AL$18:$AL$19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5-491A-9F73-24F1E6276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37315552"/>
        <c:axId val="-1637319360"/>
      </c:barChart>
      <c:catAx>
        <c:axId val="-163731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37319360"/>
        <c:crosses val="autoZero"/>
        <c:auto val="1"/>
        <c:lblAlgn val="ctr"/>
        <c:lblOffset val="100"/>
        <c:noMultiLvlLbl val="0"/>
      </c:catAx>
      <c:valAx>
        <c:axId val="-16373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373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Objetivo Financ.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Exemplo!$AK$6</c:f>
              <c:strCache>
                <c:ptCount val="1"/>
                <c:pt idx="0">
                  <c:v>Total Financeiro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sx="1000" sy="1000" algn="ctr" rotWithShape="0">
                <a:srgbClr val="000000"/>
              </a:outerShdw>
            </a:effectLst>
            <a:sp3d/>
          </c:spPr>
          <c:invertIfNegative val="0"/>
          <c:val>
            <c:numRef>
              <c:f>Exemplo!$AL$6:$AM$6</c:f>
              <c:numCache>
                <c:formatCode>"R$"\ #,##0.00</c:formatCode>
                <c:ptCount val="2"/>
                <c:pt idx="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B1A-BAC0-6BF2C9A2175C}"/>
            </c:ext>
          </c:extLst>
        </c:ser>
        <c:ser>
          <c:idx val="1"/>
          <c:order val="1"/>
          <c:tx>
            <c:strRef>
              <c:f>Exemplo!$AK$7</c:f>
              <c:strCache>
                <c:ptCount val="1"/>
                <c:pt idx="0">
                  <c:v>Meta Min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Exemplo!$AL$7:$AM$7</c:f>
              <c:numCache>
                <c:formatCode>"R$"\ #,##0.00</c:formatCode>
                <c:ptCount val="2"/>
                <c:pt idx="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2C-4B1A-BAC0-6BF2C9A21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637324800"/>
        <c:axId val="-1637327520"/>
        <c:axId val="0"/>
      </c:bar3DChart>
      <c:catAx>
        <c:axId val="-163732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37327520"/>
        <c:crosses val="autoZero"/>
        <c:auto val="1"/>
        <c:lblAlgn val="ctr"/>
        <c:lblOffset val="100"/>
        <c:tickMarkSkip val="1"/>
        <c:noMultiLvlLbl val="0"/>
      </c:catAx>
      <c:valAx>
        <c:axId val="-16373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63732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79E-4241-A4FD-8B1687330D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79E-4241-A4FD-8B1687330D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79E-4241-A4FD-8B1687330D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Exemplo!$AK$9:$AK$11</c:f>
              <c:strCache>
                <c:ptCount val="3"/>
                <c:pt idx="0">
                  <c:v>Gain</c:v>
                </c:pt>
                <c:pt idx="1">
                  <c:v>Loss</c:v>
                </c:pt>
                <c:pt idx="2">
                  <c:v>0X0</c:v>
                </c:pt>
              </c:strCache>
            </c:strRef>
          </c:cat>
          <c:val>
            <c:numRef>
              <c:f>Exemplo!$AL$9:$AL$11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9E-4241-A4FD-8B1687330D1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50778076076986"/>
          <c:y val="0.19941183691045056"/>
          <c:w val="0.74074027413240007"/>
          <c:h val="0.7358345388666889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FC5-47E2-BAD0-73CE8D9983BB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FC5-47E2-BAD0-73CE8D9983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Exemplo!$AK$24:$AK$25</c:f>
              <c:strCache>
                <c:ptCount val="2"/>
                <c:pt idx="0">
                  <c:v>Buy</c:v>
                </c:pt>
                <c:pt idx="1">
                  <c:v>Sell</c:v>
                </c:pt>
              </c:strCache>
            </c:strRef>
          </c:cat>
          <c:val>
            <c:numRef>
              <c:f>Exemplo!$AL$24:$AL$25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C5-47E2-BAD0-73CE8D9983B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0338444911400447"/>
          <c:y val="3.0075176099628561E-2"/>
          <c:w val="0.58329938040135099"/>
          <c:h val="0.1196747302607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219454</xdr:colOff>
      <xdr:row>0</xdr:row>
      <xdr:rowOff>0</xdr:rowOff>
    </xdr:from>
    <xdr:to>
      <xdr:col>18</xdr:col>
      <xdr:colOff>372496</xdr:colOff>
      <xdr:row>10</xdr:row>
      <xdr:rowOff>21770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46140" y="0"/>
          <a:ext cx="5726527" cy="2307770"/>
        </a:xfrm>
        <a:prstGeom prst="rect">
          <a:avLst/>
        </a:prstGeom>
      </xdr:spPr>
    </xdr:pic>
    <xdr:clientData/>
  </xdr:twoCellAnchor>
  <xdr:twoCellAnchor>
    <xdr:from>
      <xdr:col>28</xdr:col>
      <xdr:colOff>164307</xdr:colOff>
      <xdr:row>7</xdr:row>
      <xdr:rowOff>135732</xdr:rowOff>
    </xdr:from>
    <xdr:to>
      <xdr:col>28</xdr:col>
      <xdr:colOff>569120</xdr:colOff>
      <xdr:row>8</xdr:row>
      <xdr:rowOff>176213</xdr:rowOff>
    </xdr:to>
    <xdr:sp macro="" textlink="">
      <xdr:nvSpPr>
        <xdr:cNvPr id="3" name="Seta para a Direita Listrada 8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224082" y="1688307"/>
          <a:ext cx="404813" cy="230981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61912</xdr:colOff>
      <xdr:row>7</xdr:row>
      <xdr:rowOff>97631</xdr:rowOff>
    </xdr:from>
    <xdr:to>
      <xdr:col>31</xdr:col>
      <xdr:colOff>607219</xdr:colOff>
      <xdr:row>8</xdr:row>
      <xdr:rowOff>180975</xdr:rowOff>
    </xdr:to>
    <xdr:sp macro="" textlink="">
      <xdr:nvSpPr>
        <xdr:cNvPr id="4" name="Retângulo Arredondado 8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940837" y="1650206"/>
          <a:ext cx="1935957" cy="29289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</a:t>
          </a:r>
          <a:r>
            <a:rPr lang="pt-BR" sz="1100">
              <a:solidFill>
                <a:sysClr val="windowText" lastClr="000000"/>
              </a:solidFill>
            </a:rPr>
            <a:t>Resultado</a:t>
          </a:r>
          <a:r>
            <a:rPr lang="pt-BR" sz="1100" baseline="0">
              <a:solidFill>
                <a:sysClr val="windowText" lastClr="000000"/>
              </a:solidFill>
            </a:rPr>
            <a:t> Financeiro</a:t>
          </a:r>
          <a:endParaRPr lang="pt-BR" sz="1100"/>
        </a:p>
      </xdr:txBody>
    </xdr:sp>
    <xdr:clientData/>
  </xdr:twoCellAnchor>
  <xdr:twoCellAnchor>
    <xdr:from>
      <xdr:col>20</xdr:col>
      <xdr:colOff>82153</xdr:colOff>
      <xdr:row>23</xdr:row>
      <xdr:rowOff>216693</xdr:rowOff>
    </xdr:from>
    <xdr:to>
      <xdr:col>23</xdr:col>
      <xdr:colOff>390525</xdr:colOff>
      <xdr:row>38</xdr:row>
      <xdr:rowOff>57150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138114</xdr:colOff>
      <xdr:row>10</xdr:row>
      <xdr:rowOff>76200</xdr:rowOff>
    </xdr:from>
    <xdr:to>
      <xdr:col>27</xdr:col>
      <xdr:colOff>514350</xdr:colOff>
      <xdr:row>22</xdr:row>
      <xdr:rowOff>200025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116680</xdr:colOff>
      <xdr:row>24</xdr:row>
      <xdr:rowOff>11905</xdr:rowOff>
    </xdr:from>
    <xdr:to>
      <xdr:col>27</xdr:col>
      <xdr:colOff>575080</xdr:colOff>
      <xdr:row>38</xdr:row>
      <xdr:rowOff>114299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564356</xdr:colOff>
      <xdr:row>10</xdr:row>
      <xdr:rowOff>59532</xdr:rowOff>
    </xdr:from>
    <xdr:to>
      <xdr:col>23</xdr:col>
      <xdr:colOff>333375</xdr:colOff>
      <xdr:row>23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52388</xdr:colOff>
      <xdr:row>39</xdr:row>
      <xdr:rowOff>114298</xdr:rowOff>
    </xdr:from>
    <xdr:to>
      <xdr:col>25</xdr:col>
      <xdr:colOff>390525</xdr:colOff>
      <xdr:row>53</xdr:row>
      <xdr:rowOff>104774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476250</xdr:colOff>
      <xdr:row>7</xdr:row>
      <xdr:rowOff>85725</xdr:rowOff>
    </xdr:from>
    <xdr:to>
      <xdr:col>23</xdr:col>
      <xdr:colOff>276225</xdr:colOff>
      <xdr:row>9</xdr:row>
      <xdr:rowOff>142875</xdr:rowOff>
    </xdr:to>
    <xdr:sp macro="[0]!tudo" textlink="">
      <xdr:nvSpPr>
        <xdr:cNvPr id="11" name="Retângulo 10"/>
        <xdr:cNvSpPr/>
      </xdr:nvSpPr>
      <xdr:spPr>
        <a:xfrm>
          <a:off x="16192500" y="1409700"/>
          <a:ext cx="1285875" cy="438150"/>
        </a:xfrm>
        <a:prstGeom prst="rect">
          <a:avLst/>
        </a:prstGeom>
        <a:ln>
          <a:solidFill>
            <a:schemeClr val="accent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Calcular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56"/>
  <sheetViews>
    <sheetView tabSelected="1" zoomScale="70" zoomScaleNormal="70" workbookViewId="0">
      <selection activeCell="Q14" sqref="Q14"/>
    </sheetView>
  </sheetViews>
  <sheetFormatPr defaultRowHeight="14.4"/>
  <cols>
    <col min="2" max="2" width="9.5546875" bestFit="1" customWidth="1"/>
    <col min="3" max="3" width="17.109375" bestFit="1" customWidth="1"/>
    <col min="4" max="4" width="15.77734375" bestFit="1" customWidth="1"/>
    <col min="5" max="5" width="10.6640625" bestFit="1" customWidth="1"/>
    <col min="6" max="6" width="9.6640625" bestFit="1" customWidth="1"/>
    <col min="7" max="7" width="16.6640625" bestFit="1" customWidth="1"/>
    <col min="8" max="8" width="11.109375" bestFit="1" customWidth="1"/>
    <col min="9" max="9" width="17.33203125" bestFit="1" customWidth="1"/>
    <col min="10" max="10" width="12.77734375" bestFit="1" customWidth="1"/>
    <col min="11" max="11" width="18.88671875" bestFit="1" customWidth="1"/>
    <col min="12" max="12" width="11.77734375" bestFit="1" customWidth="1"/>
    <col min="13" max="13" width="16.6640625" bestFit="1" customWidth="1"/>
    <col min="14" max="14" width="16" bestFit="1" customWidth="1"/>
    <col min="15" max="15" width="15.6640625" bestFit="1" customWidth="1"/>
    <col min="16" max="16" width="15.21875" bestFit="1" customWidth="1"/>
    <col min="17" max="17" width="16.33203125" bestFit="1" customWidth="1"/>
    <col min="18" max="18" width="18" bestFit="1" customWidth="1"/>
    <col min="19" max="19" width="13.21875" bestFit="1" customWidth="1"/>
    <col min="22" max="22" width="10.5546875" customWidth="1"/>
    <col min="23" max="23" width="11.109375" customWidth="1"/>
    <col min="25" max="25" width="12.33203125" customWidth="1"/>
    <col min="26" max="26" width="8" customWidth="1"/>
    <col min="27" max="27" width="10.77734375" bestFit="1" customWidth="1"/>
    <col min="28" max="28" width="16.109375" customWidth="1"/>
    <col min="29" max="29" width="11.88671875" customWidth="1"/>
    <col min="30" max="30" width="11.44140625" customWidth="1"/>
    <col min="37" max="37" width="22.109375" bestFit="1" customWidth="1"/>
    <col min="39" max="39" width="15.21875" bestFit="1" customWidth="1"/>
  </cols>
  <sheetData>
    <row r="1" spans="1:40" ht="15" thickBot="1">
      <c r="A1" s="4"/>
      <c r="B1" s="34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6"/>
      <c r="P1" s="36"/>
      <c r="Q1" s="36"/>
      <c r="R1" s="36"/>
      <c r="S1" s="37"/>
      <c r="T1" s="4"/>
      <c r="U1" s="4"/>
      <c r="V1" s="4"/>
      <c r="W1" s="4"/>
      <c r="X1" s="4"/>
      <c r="Y1" s="4"/>
      <c r="Z1" s="4"/>
      <c r="AA1" s="4"/>
    </row>
    <row r="2" spans="1:40" ht="15" thickBot="1">
      <c r="A2" s="4"/>
      <c r="B2" s="8"/>
      <c r="C2" s="5"/>
      <c r="D2" s="93" t="s">
        <v>0</v>
      </c>
      <c r="E2" s="94"/>
      <c r="F2" s="94"/>
      <c r="G2" s="94"/>
      <c r="H2" s="94"/>
      <c r="I2" s="94"/>
      <c r="J2" s="94"/>
      <c r="K2" s="95"/>
      <c r="L2" s="16"/>
      <c r="M2" s="5"/>
      <c r="N2" s="5"/>
      <c r="O2" s="38"/>
      <c r="P2" s="38"/>
      <c r="Q2" s="38"/>
      <c r="R2" s="38"/>
      <c r="S2" s="7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1:40" ht="24" thickBot="1">
      <c r="A3" s="4"/>
      <c r="B3" s="8"/>
      <c r="C3" s="5"/>
      <c r="D3" s="96" t="s">
        <v>89</v>
      </c>
      <c r="E3" s="96"/>
      <c r="F3" s="96"/>
      <c r="G3" s="96"/>
      <c r="H3" s="96"/>
      <c r="I3" s="96"/>
      <c r="J3" s="96"/>
      <c r="K3" s="43">
        <f>AM6/AM5</f>
        <v>0.08</v>
      </c>
      <c r="L3" s="5"/>
      <c r="M3" s="5"/>
      <c r="N3" s="5"/>
      <c r="O3" s="38"/>
      <c r="P3" s="38"/>
      <c r="Q3" s="38"/>
      <c r="R3" s="38"/>
      <c r="S3" s="7"/>
      <c r="T3" s="4"/>
      <c r="U3" s="4"/>
      <c r="V3" s="4"/>
      <c r="W3" s="4"/>
      <c r="X3" s="4"/>
      <c r="Y3" s="4"/>
      <c r="Z3" s="4"/>
      <c r="AA3" s="97" t="s">
        <v>31</v>
      </c>
      <c r="AB3" s="98"/>
      <c r="AC3" s="98"/>
      <c r="AD3" s="98"/>
      <c r="AE3" s="98"/>
      <c r="AF3" s="98"/>
      <c r="AG3" s="98"/>
      <c r="AH3" s="98"/>
      <c r="AI3" s="99"/>
      <c r="AJ3" s="4"/>
      <c r="AK3" s="49" t="s">
        <v>23</v>
      </c>
      <c r="AL3" s="4"/>
      <c r="AM3" s="4"/>
      <c r="AN3" s="4"/>
    </row>
    <row r="4" spans="1:40" ht="15" thickBot="1">
      <c r="A4" s="4"/>
      <c r="B4" s="8"/>
      <c r="C4" s="5"/>
      <c r="D4" s="1" t="s">
        <v>1</v>
      </c>
      <c r="E4" s="103" t="s">
        <v>2</v>
      </c>
      <c r="F4" s="104"/>
      <c r="G4" s="105" t="s">
        <v>17</v>
      </c>
      <c r="H4" s="106"/>
      <c r="I4" s="107" t="s">
        <v>18</v>
      </c>
      <c r="J4" s="108"/>
      <c r="K4" s="3" t="s">
        <v>25</v>
      </c>
      <c r="L4" s="16"/>
      <c r="M4" s="109"/>
      <c r="N4" s="109"/>
      <c r="O4" s="38"/>
      <c r="P4" s="38"/>
      <c r="Q4" s="38"/>
      <c r="R4" s="38"/>
      <c r="S4" s="7"/>
      <c r="T4" s="4"/>
      <c r="U4" s="110" t="s">
        <v>44</v>
      </c>
      <c r="V4" s="111"/>
      <c r="W4" s="111"/>
      <c r="X4" s="111"/>
      <c r="Y4" s="112"/>
      <c r="Z4" s="4"/>
      <c r="AA4" s="100"/>
      <c r="AB4" s="101"/>
      <c r="AC4" s="101"/>
      <c r="AD4" s="101"/>
      <c r="AE4" s="101"/>
      <c r="AF4" s="101"/>
      <c r="AG4" s="101"/>
      <c r="AH4" s="101"/>
      <c r="AI4" s="102"/>
      <c r="AJ4" s="4"/>
      <c r="AK4" s="12"/>
      <c r="AL4" s="12"/>
      <c r="AM4" s="12"/>
      <c r="AN4" s="4"/>
    </row>
    <row r="5" spans="1:40" ht="18.600000000000001" thickBot="1">
      <c r="A5" s="4"/>
      <c r="B5" s="8"/>
      <c r="C5" s="5"/>
      <c r="D5" s="6" t="s">
        <v>65</v>
      </c>
      <c r="E5" s="5" t="s">
        <v>51</v>
      </c>
      <c r="F5" s="7"/>
      <c r="G5" s="8" t="s">
        <v>56</v>
      </c>
      <c r="H5" s="5" t="s">
        <v>57</v>
      </c>
      <c r="I5" s="8" t="s">
        <v>71</v>
      </c>
      <c r="J5" s="7" t="s">
        <v>85</v>
      </c>
      <c r="K5" s="9" t="s">
        <v>79</v>
      </c>
      <c r="L5" s="5"/>
      <c r="M5" s="5"/>
      <c r="N5" s="5"/>
      <c r="O5" s="38"/>
      <c r="P5" s="38"/>
      <c r="Q5" s="38"/>
      <c r="R5" s="38"/>
      <c r="S5" s="7"/>
      <c r="T5" s="4"/>
      <c r="U5" s="8"/>
      <c r="V5" s="19" t="s">
        <v>45</v>
      </c>
      <c r="W5" s="19" t="s">
        <v>46</v>
      </c>
      <c r="X5" s="19" t="s">
        <v>47</v>
      </c>
      <c r="Y5" s="20" t="s">
        <v>48</v>
      </c>
      <c r="Z5" s="4"/>
      <c r="AA5" s="70" t="s">
        <v>32</v>
      </c>
      <c r="AB5" s="73" t="s">
        <v>19</v>
      </c>
      <c r="AC5" s="5"/>
      <c r="AD5" s="115" t="s">
        <v>33</v>
      </c>
      <c r="AE5" s="115"/>
      <c r="AF5" s="115"/>
      <c r="AG5" s="44"/>
      <c r="AH5" s="44"/>
      <c r="AI5" s="15"/>
      <c r="AJ5" s="9"/>
      <c r="AK5" s="116" t="s">
        <v>90</v>
      </c>
      <c r="AL5" s="117"/>
      <c r="AM5" s="92">
        <v>1000</v>
      </c>
      <c r="AN5" s="4"/>
    </row>
    <row r="6" spans="1:40" ht="18.600000000000001" thickBot="1">
      <c r="A6" s="4"/>
      <c r="B6" s="8"/>
      <c r="C6" s="5"/>
      <c r="D6" s="9" t="s">
        <v>67</v>
      </c>
      <c r="E6" s="5" t="s">
        <v>52</v>
      </c>
      <c r="F6" s="7"/>
      <c r="G6" s="8" t="s">
        <v>58</v>
      </c>
      <c r="H6" s="5" t="s">
        <v>66</v>
      </c>
      <c r="I6" s="8" t="s">
        <v>64</v>
      </c>
      <c r="J6" s="7" t="s">
        <v>86</v>
      </c>
      <c r="K6" s="9" t="s">
        <v>80</v>
      </c>
      <c r="L6" s="5"/>
      <c r="M6" s="5"/>
      <c r="N6" s="5"/>
      <c r="O6" s="38"/>
      <c r="P6" s="38"/>
      <c r="Q6" s="38"/>
      <c r="R6" s="38"/>
      <c r="S6" s="7"/>
      <c r="T6" s="4"/>
      <c r="U6" s="17" t="s">
        <v>43</v>
      </c>
      <c r="V6" s="21">
        <f>COUNTIF(H13:H50,"WDO")</f>
        <v>0</v>
      </c>
      <c r="W6" s="86">
        <v>0</v>
      </c>
      <c r="X6" s="21">
        <v>0</v>
      </c>
      <c r="Y6" s="22">
        <f>SUMIFS(Q13:Q50,H13:H50,"wdo")</f>
        <v>0</v>
      </c>
      <c r="Z6" s="4"/>
      <c r="AA6" s="71" t="s">
        <v>34</v>
      </c>
      <c r="AB6" s="72">
        <v>5</v>
      </c>
      <c r="AC6" s="5"/>
      <c r="AD6" s="118" t="s">
        <v>35</v>
      </c>
      <c r="AE6" s="118"/>
      <c r="AF6" s="118"/>
      <c r="AG6" s="118"/>
      <c r="AH6" s="118"/>
      <c r="AI6" s="119"/>
      <c r="AJ6" s="9"/>
      <c r="AK6" s="120" t="s">
        <v>24</v>
      </c>
      <c r="AL6" s="121"/>
      <c r="AM6" s="90">
        <f>SUM(S13:S56)</f>
        <v>80</v>
      </c>
      <c r="AN6" s="4"/>
    </row>
    <row r="7" spans="1:40" ht="18.600000000000001" thickBot="1">
      <c r="A7" s="4"/>
      <c r="B7" s="8"/>
      <c r="C7" s="5"/>
      <c r="D7" s="9" t="s">
        <v>68</v>
      </c>
      <c r="E7" s="10" t="s">
        <v>53</v>
      </c>
      <c r="F7" s="7"/>
      <c r="G7" s="8" t="s">
        <v>82</v>
      </c>
      <c r="H7" s="5"/>
      <c r="I7" s="8" t="s">
        <v>72</v>
      </c>
      <c r="J7" s="7" t="s">
        <v>76</v>
      </c>
      <c r="K7" s="9" t="s">
        <v>81</v>
      </c>
      <c r="L7" s="5"/>
      <c r="M7" s="5"/>
      <c r="N7" s="5"/>
      <c r="O7" s="38"/>
      <c r="P7" s="38"/>
      <c r="Q7" s="38"/>
      <c r="R7" s="38"/>
      <c r="S7" s="7"/>
      <c r="T7" s="4"/>
      <c r="U7" s="18" t="s">
        <v>19</v>
      </c>
      <c r="V7" s="23">
        <f>COUNTIF(H13:H50,"WIN")</f>
        <v>2</v>
      </c>
      <c r="W7" s="23">
        <v>500</v>
      </c>
      <c r="X7" s="23">
        <v>-100</v>
      </c>
      <c r="Y7" s="24">
        <f>SUMIFS(Q13:Q50,H13:H50,"WIN")</f>
        <v>400</v>
      </c>
      <c r="Z7" s="4"/>
      <c r="AA7" s="69" t="s">
        <v>36</v>
      </c>
      <c r="AB7" s="74">
        <v>300</v>
      </c>
      <c r="AC7" s="5"/>
      <c r="AD7" s="115" t="s">
        <v>37</v>
      </c>
      <c r="AE7" s="115"/>
      <c r="AF7" s="115"/>
      <c r="AG7" s="115"/>
      <c r="AH7" s="115"/>
      <c r="AI7" s="15"/>
      <c r="AJ7" s="9"/>
      <c r="AK7" s="89" t="s">
        <v>49</v>
      </c>
      <c r="AL7" s="50"/>
      <c r="AM7" s="51">
        <v>500</v>
      </c>
      <c r="AN7" s="4"/>
    </row>
    <row r="8" spans="1:40" ht="15" thickBot="1">
      <c r="A8" s="4"/>
      <c r="B8" s="8"/>
      <c r="C8" s="5"/>
      <c r="D8" s="9" t="s">
        <v>69</v>
      </c>
      <c r="E8" s="5" t="s">
        <v>54</v>
      </c>
      <c r="F8" s="7"/>
      <c r="G8" s="8" t="s">
        <v>59</v>
      </c>
      <c r="H8" s="5"/>
      <c r="I8" s="8" t="s">
        <v>73</v>
      </c>
      <c r="J8" s="7" t="s">
        <v>77</v>
      </c>
      <c r="K8" s="9"/>
      <c r="L8" s="5"/>
      <c r="M8" s="5"/>
      <c r="N8" s="5"/>
      <c r="O8" s="38"/>
      <c r="P8" s="38"/>
      <c r="Q8" s="38"/>
      <c r="R8" s="38"/>
      <c r="S8" s="7"/>
      <c r="T8" s="4"/>
      <c r="U8" s="4"/>
      <c r="V8" s="4"/>
      <c r="W8" s="4"/>
      <c r="X8" s="4"/>
      <c r="Y8" s="4"/>
      <c r="Z8" s="7"/>
      <c r="AA8" s="4"/>
      <c r="AB8" s="13"/>
      <c r="AC8" s="5"/>
      <c r="AD8" s="115"/>
      <c r="AE8" s="115"/>
      <c r="AF8" s="115"/>
      <c r="AG8" s="115"/>
      <c r="AH8" s="115"/>
      <c r="AI8" s="15"/>
      <c r="AJ8" s="4"/>
      <c r="AK8" s="8"/>
      <c r="AL8" s="7"/>
      <c r="AM8" s="4"/>
      <c r="AN8" s="4"/>
    </row>
    <row r="9" spans="1:40" ht="18.600000000000001" thickBot="1">
      <c r="A9" s="4"/>
      <c r="B9" s="8"/>
      <c r="C9" s="5"/>
      <c r="D9" s="9" t="s">
        <v>70</v>
      </c>
      <c r="E9" s="5" t="s">
        <v>55</v>
      </c>
      <c r="F9" s="7"/>
      <c r="G9" s="8" t="s">
        <v>60</v>
      </c>
      <c r="H9" s="5"/>
      <c r="I9" s="8" t="s">
        <v>74</v>
      </c>
      <c r="J9" s="7" t="s">
        <v>78</v>
      </c>
      <c r="K9" s="9"/>
      <c r="L9" s="5"/>
      <c r="M9" s="5"/>
      <c r="N9" s="5"/>
      <c r="O9" s="38"/>
      <c r="P9" s="38"/>
      <c r="Q9" s="38"/>
      <c r="R9" s="38"/>
      <c r="S9" s="7"/>
      <c r="T9" s="4"/>
      <c r="U9" s="4"/>
      <c r="V9" s="4"/>
      <c r="W9" s="4"/>
      <c r="X9" s="4"/>
      <c r="Y9" s="4"/>
      <c r="Z9" s="7"/>
      <c r="AA9" s="70" t="s">
        <v>38</v>
      </c>
      <c r="AB9" s="75">
        <f>IF(AB5="WIN",AB7*0.2*AB6,AB7*10*AB6)</f>
        <v>300</v>
      </c>
      <c r="AC9" s="12"/>
      <c r="AD9" s="12"/>
      <c r="AE9" s="12"/>
      <c r="AF9" s="12"/>
      <c r="AG9" s="12"/>
      <c r="AH9" s="12"/>
      <c r="AI9" s="13"/>
      <c r="AJ9" s="4"/>
      <c r="AK9" s="79" t="s">
        <v>39</v>
      </c>
      <c r="AL9" s="53">
        <f>COUNTIF(P13:P50,"GAIN")</f>
        <v>1</v>
      </c>
      <c r="AM9" s="4"/>
      <c r="AN9" s="4"/>
    </row>
    <row r="10" spans="1:40" ht="18.600000000000001" thickBot="1">
      <c r="A10" s="4"/>
      <c r="B10" s="8"/>
      <c r="C10" s="5"/>
      <c r="D10" s="11"/>
      <c r="E10" s="12" t="s">
        <v>61</v>
      </c>
      <c r="F10" s="13" t="s">
        <v>62</v>
      </c>
      <c r="G10" s="14" t="s">
        <v>63</v>
      </c>
      <c r="H10" s="12"/>
      <c r="I10" s="14" t="s">
        <v>75</v>
      </c>
      <c r="J10" s="13"/>
      <c r="K10" s="11"/>
      <c r="L10" s="5"/>
      <c r="M10" s="5"/>
      <c r="N10" s="5"/>
      <c r="O10" s="38"/>
      <c r="P10" s="38"/>
      <c r="Q10" s="38"/>
      <c r="R10" s="38"/>
      <c r="S10" s="7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77" t="s">
        <v>30</v>
      </c>
      <c r="AL10" s="55">
        <f>COUNTIF(P13:P50,"LOSS")</f>
        <v>1</v>
      </c>
      <c r="AM10" s="4"/>
      <c r="AN10" s="4"/>
    </row>
    <row r="11" spans="1:40" ht="18.600000000000001" thickBot="1">
      <c r="A11" s="4"/>
      <c r="B11" s="1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3"/>
      <c r="T11" s="4"/>
      <c r="U11" s="4"/>
      <c r="V11" s="4"/>
      <c r="W11" s="4"/>
      <c r="X11" s="4"/>
      <c r="Y11" s="4"/>
      <c r="Z11" s="4"/>
      <c r="AA11" s="4"/>
      <c r="AB11" s="4"/>
      <c r="AC11" s="56"/>
      <c r="AD11" s="56"/>
      <c r="AE11" s="4"/>
      <c r="AF11" s="4"/>
      <c r="AG11" s="4"/>
      <c r="AH11" s="4"/>
      <c r="AI11" s="4"/>
      <c r="AJ11" s="4"/>
      <c r="AK11" s="88" t="s">
        <v>27</v>
      </c>
      <c r="AL11" s="58">
        <f>COUNTIF(P13:P38,"0X0")</f>
        <v>0</v>
      </c>
      <c r="AM11" s="59"/>
      <c r="AN11" s="4"/>
    </row>
    <row r="12" spans="1:40" ht="21">
      <c r="A12" s="4"/>
      <c r="B12" s="25" t="s">
        <v>16</v>
      </c>
      <c r="C12" s="26" t="s">
        <v>0</v>
      </c>
      <c r="D12" s="26" t="s">
        <v>3</v>
      </c>
      <c r="E12" s="26" t="s">
        <v>4</v>
      </c>
      <c r="F12" s="26" t="s">
        <v>5</v>
      </c>
      <c r="G12" s="26" t="s">
        <v>6</v>
      </c>
      <c r="H12" s="26" t="s">
        <v>7</v>
      </c>
      <c r="I12" s="26" t="s">
        <v>8</v>
      </c>
      <c r="J12" s="26" t="s">
        <v>9</v>
      </c>
      <c r="K12" s="26" t="s">
        <v>10</v>
      </c>
      <c r="L12" s="26" t="s">
        <v>42</v>
      </c>
      <c r="M12" s="26" t="s">
        <v>11</v>
      </c>
      <c r="N12" s="26" t="s">
        <v>12</v>
      </c>
      <c r="O12" s="26" t="s">
        <v>13</v>
      </c>
      <c r="P12" s="26" t="s">
        <v>14</v>
      </c>
      <c r="Q12" s="26" t="s">
        <v>15</v>
      </c>
      <c r="R12" s="26" t="s">
        <v>20</v>
      </c>
      <c r="S12" s="27" t="s">
        <v>22</v>
      </c>
      <c r="T12" s="2"/>
      <c r="U12" s="4"/>
      <c r="V12" s="4"/>
      <c r="W12" s="4"/>
      <c r="X12" s="4"/>
      <c r="Y12" s="4"/>
      <c r="Z12" s="4"/>
      <c r="AA12" s="4"/>
      <c r="AB12" s="60"/>
      <c r="AC12" s="113" t="s">
        <v>84</v>
      </c>
      <c r="AD12" s="114"/>
      <c r="AE12" s="4"/>
      <c r="AF12" s="4"/>
      <c r="AG12" s="4"/>
      <c r="AH12" s="4"/>
      <c r="AI12" s="4"/>
      <c r="AJ12" s="4"/>
      <c r="AK12" s="76" t="s">
        <v>1</v>
      </c>
      <c r="AL12" s="53">
        <v>0</v>
      </c>
      <c r="AM12" s="4"/>
      <c r="AN12" s="4"/>
    </row>
    <row r="13" spans="1:40" ht="21">
      <c r="A13" s="4"/>
      <c r="B13" s="80">
        <v>44382</v>
      </c>
      <c r="C13" s="29" t="s">
        <v>78</v>
      </c>
      <c r="D13" s="30">
        <v>1</v>
      </c>
      <c r="E13" s="83">
        <v>0.40208333333333335</v>
      </c>
      <c r="F13" s="30" t="s">
        <v>91</v>
      </c>
      <c r="G13" s="30" t="s">
        <v>92</v>
      </c>
      <c r="H13" s="30" t="s">
        <v>19</v>
      </c>
      <c r="I13" s="30">
        <v>1</v>
      </c>
      <c r="J13" s="30" t="s">
        <v>88</v>
      </c>
      <c r="K13" s="30" t="s">
        <v>88</v>
      </c>
      <c r="L13" s="30" t="s">
        <v>88</v>
      </c>
      <c r="M13" s="30" t="s">
        <v>88</v>
      </c>
      <c r="N13" s="30">
        <v>40</v>
      </c>
      <c r="O13" s="30">
        <v>100</v>
      </c>
      <c r="P13" s="30" t="s">
        <v>94</v>
      </c>
      <c r="Q13" s="82">
        <v>-100</v>
      </c>
      <c r="R13" s="30" t="s">
        <v>93</v>
      </c>
      <c r="S13" s="42">
        <v>-20</v>
      </c>
      <c r="T13" s="4"/>
      <c r="U13" s="4"/>
      <c r="V13" s="4"/>
      <c r="W13" s="4"/>
      <c r="X13" s="4"/>
      <c r="Y13" s="4"/>
      <c r="Z13" s="4"/>
      <c r="AA13" s="4"/>
      <c r="AB13" s="60"/>
      <c r="AC13" s="61" t="s">
        <v>83</v>
      </c>
      <c r="AD13" s="62">
        <v>112075</v>
      </c>
      <c r="AE13" s="4"/>
      <c r="AF13" s="4"/>
      <c r="AG13" s="4"/>
      <c r="AH13" s="4"/>
      <c r="AI13" s="4"/>
      <c r="AJ13" s="4"/>
      <c r="AK13" s="46" t="s">
        <v>2</v>
      </c>
      <c r="AL13" s="55">
        <v>0</v>
      </c>
      <c r="AM13" s="4"/>
      <c r="AN13" s="4"/>
    </row>
    <row r="14" spans="1:40" ht="21">
      <c r="A14" s="4"/>
      <c r="B14" s="80">
        <v>44382</v>
      </c>
      <c r="C14" s="30" t="s">
        <v>78</v>
      </c>
      <c r="D14" s="30">
        <v>2</v>
      </c>
      <c r="E14" s="83">
        <v>0.4201388888888889</v>
      </c>
      <c r="F14" s="30" t="s">
        <v>91</v>
      </c>
      <c r="G14" s="30" t="s">
        <v>92</v>
      </c>
      <c r="H14" s="30" t="s">
        <v>19</v>
      </c>
      <c r="I14" s="30">
        <v>2</v>
      </c>
      <c r="J14" s="30" t="s">
        <v>95</v>
      </c>
      <c r="K14" s="30" t="s">
        <v>95</v>
      </c>
      <c r="L14" s="30" t="s">
        <v>88</v>
      </c>
      <c r="M14" s="30" t="s">
        <v>88</v>
      </c>
      <c r="N14" s="30">
        <v>350</v>
      </c>
      <c r="O14" s="30">
        <v>15</v>
      </c>
      <c r="P14" s="30" t="s">
        <v>87</v>
      </c>
      <c r="Q14" s="82">
        <v>500</v>
      </c>
      <c r="R14" s="30" t="s">
        <v>93</v>
      </c>
      <c r="S14" s="42">
        <v>100</v>
      </c>
      <c r="T14" s="4"/>
      <c r="U14" s="4"/>
      <c r="V14" s="4"/>
      <c r="W14" s="4"/>
      <c r="X14" s="4"/>
      <c r="Y14" s="4"/>
      <c r="Z14" s="4"/>
      <c r="AA14" s="4"/>
      <c r="AB14" s="60"/>
      <c r="AC14" s="61" t="s">
        <v>50</v>
      </c>
      <c r="AD14" s="62">
        <v>112005</v>
      </c>
      <c r="AE14" s="4"/>
      <c r="AF14" s="4"/>
      <c r="AG14" s="4"/>
      <c r="AH14" s="4"/>
      <c r="AI14" s="4"/>
      <c r="AJ14" s="4"/>
      <c r="AK14" s="47" t="s">
        <v>17</v>
      </c>
      <c r="AL14" s="55">
        <v>0</v>
      </c>
      <c r="AM14" s="4"/>
      <c r="AN14" s="4"/>
    </row>
    <row r="15" spans="1:40" ht="21">
      <c r="A15" s="4"/>
      <c r="B15" s="80"/>
      <c r="C15" s="30"/>
      <c r="D15" s="30"/>
      <c r="E15" s="83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42"/>
      <c r="T15" s="4"/>
      <c r="U15" s="4"/>
      <c r="V15" s="4"/>
      <c r="W15" s="4"/>
      <c r="X15" s="4"/>
      <c r="Y15" s="4"/>
      <c r="Z15" s="4"/>
      <c r="AA15" s="4"/>
      <c r="AB15" s="60"/>
      <c r="AC15" s="63" t="s">
        <v>14</v>
      </c>
      <c r="AD15" s="64">
        <f>AD13-AD14</f>
        <v>70</v>
      </c>
      <c r="AE15" s="4"/>
      <c r="AF15" s="4"/>
      <c r="AG15" s="4"/>
      <c r="AH15" s="4"/>
      <c r="AI15" s="4"/>
      <c r="AJ15" s="4"/>
      <c r="AK15" s="78" t="s">
        <v>18</v>
      </c>
      <c r="AL15" s="55">
        <v>2</v>
      </c>
      <c r="AM15" s="4"/>
      <c r="AN15" s="4"/>
    </row>
    <row r="16" spans="1:40" ht="21.6" thickBot="1">
      <c r="A16" s="4"/>
      <c r="B16" s="80"/>
      <c r="C16" s="30"/>
      <c r="D16" s="30"/>
      <c r="E16" s="83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87"/>
      <c r="R16" s="30"/>
      <c r="S16" s="42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8" t="s">
        <v>25</v>
      </c>
      <c r="AL16" s="58">
        <v>0</v>
      </c>
      <c r="AM16" s="4"/>
      <c r="AN16" s="4"/>
    </row>
    <row r="17" spans="1:40" ht="18.600000000000001" thickBot="1">
      <c r="A17" s="4"/>
      <c r="B17" s="80"/>
      <c r="C17" s="30"/>
      <c r="D17" s="30"/>
      <c r="E17" s="31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42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9"/>
      <c r="AL17" s="55"/>
      <c r="AM17" s="4"/>
      <c r="AN17" s="91"/>
    </row>
    <row r="18" spans="1:40" ht="18">
      <c r="A18" s="4"/>
      <c r="B18" s="28"/>
      <c r="C18" s="81"/>
      <c r="D18" s="30"/>
      <c r="E18" s="31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42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52" t="s">
        <v>40</v>
      </c>
      <c r="AL18" s="53">
        <f>COUNTIF(M13:M50,"S")</f>
        <v>0</v>
      </c>
      <c r="AM18" s="4"/>
      <c r="AN18" s="4"/>
    </row>
    <row r="19" spans="1:40" ht="18.600000000000001" thickBot="1">
      <c r="A19" s="4"/>
      <c r="B19" s="28"/>
      <c r="C19" s="30"/>
      <c r="D19" s="30"/>
      <c r="E19" s="31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42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57" t="s">
        <v>41</v>
      </c>
      <c r="AL19" s="58">
        <f>COUNTIF(M13:M50,"N")</f>
        <v>2</v>
      </c>
      <c r="AM19" s="4"/>
      <c r="AN19" s="4"/>
    </row>
    <row r="20" spans="1:40" ht="18.600000000000001" thickBot="1">
      <c r="A20" s="4"/>
      <c r="B20" s="28"/>
      <c r="C20" s="30"/>
      <c r="D20" s="30"/>
      <c r="E20" s="31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42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54"/>
      <c r="AL20" s="55"/>
      <c r="AM20" s="4"/>
      <c r="AN20" s="4"/>
    </row>
    <row r="21" spans="1:40" ht="18">
      <c r="A21" s="4"/>
      <c r="B21" s="28"/>
      <c r="C21" s="30"/>
      <c r="D21" s="30"/>
      <c r="E21" s="31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42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52" t="s">
        <v>21</v>
      </c>
      <c r="AL21" s="53">
        <f>COUNTIF(R13:R50,"SWING")</f>
        <v>2</v>
      </c>
      <c r="AM21" s="4"/>
      <c r="AN21" s="4"/>
    </row>
    <row r="22" spans="1:40" ht="18.600000000000001" thickBot="1">
      <c r="A22" s="4"/>
      <c r="B22" s="28"/>
      <c r="C22" s="30"/>
      <c r="D22" s="30"/>
      <c r="E22" s="31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42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57" t="s">
        <v>29</v>
      </c>
      <c r="AL22" s="58">
        <f>COUNTIF(R13:R50,"SCALP")</f>
        <v>0</v>
      </c>
      <c r="AM22" s="4"/>
      <c r="AN22" s="4"/>
    </row>
    <row r="23" spans="1:40" ht="18.600000000000001" thickBot="1">
      <c r="A23" s="4"/>
      <c r="B23" s="28"/>
      <c r="C23" s="30"/>
      <c r="D23" s="30"/>
      <c r="E23" s="31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42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65"/>
      <c r="AL23" s="66"/>
      <c r="AM23" s="4"/>
      <c r="AN23" s="4"/>
    </row>
    <row r="24" spans="1:40" ht="18">
      <c r="A24" s="4"/>
      <c r="B24" s="28"/>
      <c r="C24" s="30"/>
      <c r="D24" s="30"/>
      <c r="E24" s="31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42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84" t="s">
        <v>28</v>
      </c>
      <c r="AL24" s="55">
        <f>COUNTIF(G13:G50,"BUY")</f>
        <v>0</v>
      </c>
      <c r="AM24" s="4"/>
      <c r="AN24" s="4"/>
    </row>
    <row r="25" spans="1:40" ht="18.600000000000001" thickBot="1">
      <c r="A25" s="4"/>
      <c r="B25" s="28"/>
      <c r="C25" s="30"/>
      <c r="D25" s="30"/>
      <c r="E25" s="31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42"/>
      <c r="T25" s="4"/>
      <c r="U25" s="4"/>
      <c r="V25" s="4"/>
      <c r="W25" s="4"/>
      <c r="X25" s="4"/>
      <c r="Y25" s="4"/>
      <c r="Z25" s="4"/>
      <c r="AA25" s="4"/>
      <c r="AB25" s="67"/>
      <c r="AC25" s="4"/>
      <c r="AD25" s="59"/>
      <c r="AE25" s="4"/>
      <c r="AF25" s="4"/>
      <c r="AG25" s="4"/>
      <c r="AH25" s="4"/>
      <c r="AI25" s="4"/>
      <c r="AJ25" s="4"/>
      <c r="AK25" s="85" t="s">
        <v>26</v>
      </c>
      <c r="AL25" s="58">
        <f>COUNTIF(G13:G50,"SELL")</f>
        <v>2</v>
      </c>
      <c r="AM25" s="4"/>
      <c r="AN25" s="4"/>
    </row>
    <row r="26" spans="1:40" ht="15" thickBot="1">
      <c r="A26" s="4"/>
      <c r="B26" s="28"/>
      <c r="C26" s="45"/>
      <c r="D26" s="30"/>
      <c r="E26" s="31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42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11"/>
      <c r="AL26" s="13"/>
      <c r="AM26" s="4"/>
      <c r="AN26" s="4"/>
    </row>
    <row r="27" spans="1:40">
      <c r="A27" s="4"/>
      <c r="B27" s="28"/>
      <c r="C27" s="30"/>
      <c r="D27" s="30"/>
      <c r="E27" s="31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42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A28" s="4"/>
      <c r="B28" s="28"/>
      <c r="C28" s="30"/>
      <c r="D28" s="30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42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A29" s="4"/>
      <c r="B29" s="28"/>
      <c r="C29" s="30"/>
      <c r="D29" s="30"/>
      <c r="E29" s="31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42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A30" s="4"/>
      <c r="B30" s="28"/>
      <c r="C30" s="30"/>
      <c r="D30" s="30"/>
      <c r="E30" s="31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42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>
      <c r="A31" s="4"/>
      <c r="B31" s="28"/>
      <c r="C31" s="30"/>
      <c r="D31" s="30"/>
      <c r="E31" s="31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42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A32" s="4"/>
      <c r="B32" s="28"/>
      <c r="C32" s="30"/>
      <c r="D32" s="30"/>
      <c r="E32" s="31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42"/>
      <c r="T32" s="4"/>
      <c r="U32" s="4"/>
      <c r="V32" s="4"/>
      <c r="W32" s="4"/>
      <c r="X32" s="4"/>
      <c r="Y32" s="4"/>
      <c r="Z32" s="4"/>
      <c r="AA32" s="4"/>
      <c r="AB32" s="4"/>
      <c r="AC32" s="68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A33" s="4"/>
      <c r="B33" s="28"/>
      <c r="C33" s="30"/>
      <c r="D33" s="30"/>
      <c r="E33" s="3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42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A34" s="4"/>
      <c r="B34" s="28"/>
      <c r="C34" s="30"/>
      <c r="D34" s="30"/>
      <c r="E34" s="31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42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A35" s="4"/>
      <c r="B35" s="28"/>
      <c r="C35" s="41"/>
      <c r="D35" s="30"/>
      <c r="E35" s="31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42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A36" s="4"/>
      <c r="B36" s="28"/>
      <c r="C36" s="30"/>
      <c r="D36" s="30"/>
      <c r="E36" s="31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42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>
      <c r="A37" s="4"/>
      <c r="B37" s="28"/>
      <c r="C37" s="30"/>
      <c r="D37" s="30"/>
      <c r="E37" s="31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42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A38" s="4"/>
      <c r="B38" s="28"/>
      <c r="C38" s="41"/>
      <c r="D38" s="30"/>
      <c r="E38" s="31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42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A39" s="4"/>
      <c r="B39" s="28"/>
      <c r="C39" s="30"/>
      <c r="D39" s="30"/>
      <c r="E39" s="31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42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A40" s="4"/>
      <c r="B40" s="28"/>
      <c r="C40" s="30"/>
      <c r="D40" s="30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42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A41" s="4"/>
      <c r="B41" s="28"/>
      <c r="C41" s="30"/>
      <c r="D41" s="30"/>
      <c r="E41" s="31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42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A42" s="4"/>
      <c r="B42" s="28"/>
      <c r="C42" s="30"/>
      <c r="D42" s="30"/>
      <c r="E42" s="31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42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>
      <c r="A43" s="4"/>
      <c r="B43" s="28"/>
      <c r="C43" s="30"/>
      <c r="D43" s="30"/>
      <c r="E43" s="3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42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A44" s="4"/>
      <c r="B44" s="28"/>
      <c r="C44" s="30"/>
      <c r="D44" s="30"/>
      <c r="E44" s="31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42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A45" s="4"/>
      <c r="B45" s="28"/>
      <c r="C45" s="30"/>
      <c r="D45" s="30"/>
      <c r="E45" s="31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42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A46" s="4"/>
      <c r="B46" s="28"/>
      <c r="C46" s="30"/>
      <c r="D46" s="30"/>
      <c r="E46" s="31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42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A47" s="4"/>
      <c r="B47" s="28"/>
      <c r="C47" s="30"/>
      <c r="D47" s="30"/>
      <c r="E47" s="31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42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A48" s="4"/>
      <c r="B48" s="28"/>
      <c r="C48" s="30"/>
      <c r="D48" s="30"/>
      <c r="E48" s="31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42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>
      <c r="A49" s="4"/>
      <c r="B49" s="28"/>
      <c r="C49" s="30"/>
      <c r="D49" s="30"/>
      <c r="E49" s="31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42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ht="15" thickBot="1">
      <c r="A50" s="4"/>
      <c r="B50" s="32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42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A51" s="4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40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40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A53" s="4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40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A54" s="4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40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>
      <c r="A55" s="4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40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A56" s="4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40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</sheetData>
  <autoFilter ref="B12:S45"/>
  <mergeCells count="15">
    <mergeCell ref="AC12:AD12"/>
    <mergeCell ref="AD5:AF5"/>
    <mergeCell ref="AK5:AL5"/>
    <mergeCell ref="AD6:AI6"/>
    <mergeCell ref="AK6:AL6"/>
    <mergeCell ref="AD7:AH7"/>
    <mergeCell ref="AD8:AH8"/>
    <mergeCell ref="D2:K2"/>
    <mergeCell ref="D3:J3"/>
    <mergeCell ref="AA3:AI4"/>
    <mergeCell ref="E4:F4"/>
    <mergeCell ref="G4:H4"/>
    <mergeCell ref="I4:J4"/>
    <mergeCell ref="M4:N4"/>
    <mergeCell ref="U4:Y4"/>
  </mergeCells>
  <conditionalFormatting sqref="C13:C56">
    <cfRule type="containsText" dxfId="21" priority="10" operator="containsText" text="2-">
      <formula>NOT(ISERROR(SEARCH("2-",C13)))</formula>
    </cfRule>
    <cfRule type="containsText" dxfId="20" priority="13" operator="containsText" text="5">
      <formula>NOT(ISERROR(SEARCH("5",C13)))</formula>
    </cfRule>
    <cfRule type="containsText" dxfId="19" priority="14" operator="containsText" text="7">
      <formula>NOT(ISERROR(SEARCH("7",C13)))</formula>
    </cfRule>
    <cfRule type="containsText" dxfId="18" priority="19" operator="containsText" text="4">
      <formula>NOT(ISERROR(SEARCH("4",C13)))</formula>
    </cfRule>
    <cfRule type="containsText" dxfId="17" priority="20" operator="containsText" text="3">
      <formula>NOT(ISERROR(SEARCH("3",C13)))</formula>
    </cfRule>
    <cfRule type="containsText" dxfId="16" priority="21" operator="containsText" text="2">
      <formula>NOT(ISERROR(SEARCH("2",C13)))</formula>
    </cfRule>
    <cfRule type="containsText" dxfId="15" priority="22" operator="containsText" text="1">
      <formula>NOT(ISERROR(SEARCH("1",C13)))</formula>
    </cfRule>
  </conditionalFormatting>
  <conditionalFormatting sqref="P13:P56">
    <cfRule type="containsText" dxfId="14" priority="17" operator="containsText" text="LOSS">
      <formula>NOT(ISERROR(SEARCH("LOSS",P13)))</formula>
    </cfRule>
    <cfRule type="containsText" dxfId="13" priority="18" operator="containsText" text="GAIN">
      <formula>NOT(ISERROR(SEARCH("GAIN",P13)))</formula>
    </cfRule>
  </conditionalFormatting>
  <conditionalFormatting sqref="M13:M56">
    <cfRule type="containsText" dxfId="12" priority="15" operator="containsText" text="NÃO">
      <formula>NOT(ISERROR(SEARCH("NÃO",M13)))</formula>
    </cfRule>
    <cfRule type="containsText" dxfId="11" priority="16" operator="containsText" text="SIM">
      <formula>NOT(ISERROR(SEARCH("SIM",M13)))</formula>
    </cfRule>
  </conditionalFormatting>
  <conditionalFormatting sqref="G13:G56">
    <cfRule type="containsText" dxfId="10" priority="11" operator="containsText" text="Sell">
      <formula>NOT(ISERROR(SEARCH("Sell",G13)))</formula>
    </cfRule>
    <cfRule type="containsText" dxfId="9" priority="12" operator="containsText" text="BUY">
      <formula>NOT(ISERROR(SEARCH("BUY",G13)))</formula>
    </cfRule>
  </conditionalFormatting>
  <conditionalFormatting sqref="C13:C50">
    <cfRule type="containsText" dxfId="8" priority="1" operator="containsText" text="2 PB 1/3">
      <formula>NOT(ISERROR(SEARCH("2 PB 1/3",C13)))</formula>
    </cfRule>
    <cfRule type="containsText" dxfId="7" priority="2" operator="containsText" text="3 PB 50%">
      <formula>NOT(ISERROR(SEARCH("3 PB 50%",C13)))</formula>
    </cfRule>
    <cfRule type="containsText" dxfId="6" priority="3" operator="containsText" text="1- L 50">
      <formula>NOT(ISERROR(SEARCH("1- L 50",C13)))</formula>
    </cfRule>
    <cfRule type="containsText" dxfId="5" priority="4" operator="containsText" text="1- S 50%">
      <formula>NOT(ISERROR(SEARCH("1- S 50%",C13)))</formula>
    </cfRule>
    <cfRule type="containsText" dxfId="4" priority="5" operator="containsText" text="1 -L 50%">
      <formula>NOT(ISERROR(SEARCH("1 -L 50%",C13)))</formula>
    </cfRule>
    <cfRule type="containsText" dxfId="3" priority="6" operator="containsText" text="1- CC">
      <formula>NOT(ISERROR(SEARCH("1- CC",C13)))</formula>
    </cfRule>
    <cfRule type="containsText" dxfId="2" priority="7" operator="containsText" text="1 - Limit">
      <formula>NOT(ISERROR(SEARCH("1 - Limit",C13)))</formula>
    </cfRule>
    <cfRule type="containsText" dxfId="1" priority="8" operator="containsText" text="1- B 50">
      <formula>NOT(ISERROR(SEARCH("1- B 50",C13)))</formula>
    </cfRule>
    <cfRule type="containsText" dxfId="0" priority="9" operator="containsText" text="1 ">
      <formula>NOT(ISERROR(SEARCH("1 ",C13)))</formula>
    </cfRule>
  </conditionalFormatting>
  <dataValidations count="1">
    <dataValidation type="list" allowBlank="1" showInputMessage="1" showErrorMessage="1" sqref="AB5">
      <formula1>"WIN,WDO"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COSTA;rodrigobme@hotmail.com</dc:creator>
  <cp:lastModifiedBy>Rodrigo</cp:lastModifiedBy>
  <dcterms:created xsi:type="dcterms:W3CDTF">2020-11-25T10:22:22Z</dcterms:created>
  <dcterms:modified xsi:type="dcterms:W3CDTF">2022-10-28T11:33:35Z</dcterms:modified>
</cp:coreProperties>
</file>